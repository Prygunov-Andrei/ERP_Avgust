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8. Департамент продаж\Тетюшев\Август\Здание суда\"/>
    </mc:Choice>
  </mc:AlternateContent>
  <xr:revisionPtr revIDLastSave="0" documentId="8_{88B25926-4E62-48B1-A7CB-29D2EA35020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Коммерческое предложение" sheetId="1" r:id="rId1"/>
  </sheets>
  <definedNames>
    <definedName name="Print_Area" localSheetId="0">'Коммерческое предложение'!$A$1:$I$44</definedName>
    <definedName name="_xlnm.Print_Area" localSheetId="0">'Коммерческое предложение'!$A$1:$I$33</definedName>
  </definedNames>
  <calcPr calcId="181029" refMode="R1C1"/>
</workbook>
</file>

<file path=xl/calcChain.xml><?xml version="1.0" encoding="utf-8"?>
<calcChain xmlns="http://schemas.openxmlformats.org/spreadsheetml/2006/main">
  <c r="G6" i="1" l="1"/>
  <c r="B17" i="1" l="1"/>
  <c r="B19" i="1" s="1"/>
  <c r="B20" i="1" s="1"/>
  <c r="B21" i="1" s="1"/>
  <c r="B22" i="1" s="1"/>
  <c r="H23" i="1" l="1"/>
</calcChain>
</file>

<file path=xl/sharedStrings.xml><?xml version="1.0" encoding="utf-8"?>
<sst xmlns="http://schemas.openxmlformats.org/spreadsheetml/2006/main" count="45" uniqueCount="40">
  <si>
    <t>НПТ Климатика</t>
  </si>
  <si>
    <t>142180, МО, г. о. Подольск, мкр-н Климовск, ул. Ленина, д. 1</t>
  </si>
  <si>
    <t>+7(495) 542-22-82 | http://www.wheil.com  | info@npt-c.ru</t>
  </si>
  <si>
    <t>Партнёр:</t>
  </si>
  <si>
    <t>Дата:</t>
  </si>
  <si>
    <t>Объект:</t>
  </si>
  <si>
    <t>№ ТКП/версия:</t>
  </si>
  <si>
    <t>Адрес:</t>
  </si>
  <si>
    <t>Менеджер проекта:</t>
  </si>
  <si>
    <t>Инженер:</t>
  </si>
  <si>
    <t>Уважаемый партнер,</t>
  </si>
  <si>
    <t>по выбранному техническому решению мы предлагаем Вам следующие условия для взаимодействия:</t>
  </si>
  <si>
    <t>№ п/п</t>
  </si>
  <si>
    <t>Обозн.</t>
  </si>
  <si>
    <t>Наименование оборудования</t>
  </si>
  <si>
    <t>Ед. изм.</t>
  </si>
  <si>
    <t>Кол-во</t>
  </si>
  <si>
    <t xml:space="preserve"> </t>
  </si>
  <si>
    <t>Итого:</t>
  </si>
  <si>
    <t>Примечаниe:</t>
  </si>
  <si>
    <t>1. Стоимость оборудования представлена с учетом НДС 20%</t>
  </si>
  <si>
    <r>
      <rPr>
        <sz val="11"/>
        <color rgb="FF000000"/>
        <rFont val="Calibri"/>
        <family val="2"/>
        <charset val="204"/>
      </rPr>
      <t>2. Срок действия коммерческого предложения составляет 5 рабочих дней с даты выставления.</t>
    </r>
  </si>
  <si>
    <r>
      <rPr>
        <sz val="11"/>
        <color rgb="FF000000"/>
        <rFont val="Calibri"/>
        <family val="2"/>
        <charset val="204"/>
      </rPr>
      <t>3. Срок поставки оборудования уточняется дополнительно.</t>
    </r>
  </si>
  <si>
    <t>4. Стандартная гарантия на оборудования действует 3 года.</t>
  </si>
  <si>
    <t>Условия поставки: DDP - Москва. Самовывоз со склад Поставщика</t>
  </si>
  <si>
    <t>Евсеева Алина</t>
  </si>
  <si>
    <t>шт</t>
  </si>
  <si>
    <t>Цена, RUB</t>
  </si>
  <si>
    <t>Стоимость, RUB</t>
  </si>
  <si>
    <t>Внутренний блок KSGA70HFRN1</t>
  </si>
  <si>
    <t>Наружный блок KSRA70HFRN1</t>
  </si>
  <si>
    <t>К1 К1.1</t>
  </si>
  <si>
    <t>Внутренний блок KSGA21HFRN1</t>
  </si>
  <si>
    <t>Наружный блок KSRA21HFRN1/-40</t>
  </si>
  <si>
    <t>Модуль автоматич.регулир.CCM-33-0.0</t>
  </si>
  <si>
    <t>К2 К2.1 К3 К3.1</t>
  </si>
  <si>
    <t>Здание суда</t>
  </si>
  <si>
    <t>Россия, Московская область, г. Истра, ЭХ Большевик</t>
  </si>
  <si>
    <t>НПТ_185214</t>
  </si>
  <si>
    <t>Климова Ольга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</si>
</sst>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_-* #,##0.00\ [$₽-419]_-;\-* #,##0.00\ [$₽-419]_-;_-* &quot;-&quot;??\ [$₽-419]_-;_-@_-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9"/>
      <color rgb="FF000000"/>
      <name val="Calibri Light"/>
      <family val="2"/>
      <charset val="204"/>
    </font>
    <font>
      <b/>
      <sz val="9"/>
      <color rgb="FF000000"/>
      <name val="Calibri Light"/>
      <family val="2"/>
      <charset val="204"/>
    </font>
    <font>
      <sz val="14"/>
      <color rgb="FF000000"/>
      <name val="Calibri Light"/>
      <family val="2"/>
      <charset val="204"/>
    </font>
    <font>
      <sz val="10"/>
      <color rgb="FF000000"/>
      <name val="Calibri Light"/>
      <family val="2"/>
      <charset val="204"/>
    </font>
    <font>
      <b/>
      <sz val="10"/>
      <color rgb="FF000000"/>
      <name val="Calibri Light"/>
      <family val="2"/>
      <charset val="204"/>
    </font>
    <font>
      <sz val="11"/>
      <color rgb="FF000000"/>
      <name val="Calibri Light"/>
      <family val="2"/>
      <charset val="204"/>
    </font>
    <font>
      <sz val="11"/>
      <color indexed="8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b/>
      <sz val="11"/>
      <color rgb="FF000000"/>
      <name val="Calibri Light"/>
      <family val="2"/>
      <charset val="204"/>
    </font>
    <font>
      <sz val="11"/>
      <color rgb="FF000000"/>
      <name val="Calibri"/>
      <family val="2"/>
      <charset val="204"/>
    </font>
    <font>
      <sz val="10"/>
      <name val="Arial Cyr"/>
      <charset val="204"/>
    </font>
    <font>
      <sz val="10"/>
      <name val="Arial"/>
      <family val="2"/>
    </font>
    <font>
      <sz val="11"/>
      <color rgb="FF00B05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rgb="FF000000"/>
      </right>
      <top style="medium">
        <color indexed="64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indexed="64"/>
      </top>
      <bottom style="hair">
        <color rgb="FF000000"/>
      </bottom>
      <diagonal/>
    </border>
    <border>
      <left style="hair">
        <color rgb="FF000000"/>
      </left>
      <right style="medium">
        <color indexed="64"/>
      </right>
      <top style="medium">
        <color indexed="64"/>
      </top>
      <bottom style="hair">
        <color rgb="FF000000"/>
      </bottom>
      <diagonal/>
    </border>
    <border>
      <left style="hair">
        <color rgb="FF000000"/>
      </left>
      <right/>
      <top style="medium">
        <color indexed="64"/>
      </top>
      <bottom style="hair">
        <color rgb="FF000000"/>
      </bottom>
      <diagonal/>
    </border>
    <border>
      <left/>
      <right style="medium">
        <color indexed="64"/>
      </right>
      <top style="medium">
        <color indexed="64"/>
      </top>
      <bottom style="hair">
        <color rgb="FF000000"/>
      </bottom>
      <diagonal/>
    </border>
    <border>
      <left style="medium">
        <color indexed="64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hair">
        <color rgb="FF000000"/>
      </right>
      <top style="hair">
        <color rgb="FF000000"/>
      </top>
      <bottom style="medium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indexed="64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medium">
        <color indexed="64"/>
      </bottom>
      <diagonal/>
    </border>
    <border>
      <left style="medium">
        <color indexed="64"/>
      </left>
      <right style="hair">
        <color rgb="FF000000"/>
      </right>
      <top style="medium">
        <color indexed="64"/>
      </top>
      <bottom style="medium">
        <color indexed="64"/>
      </bottom>
      <diagonal/>
    </border>
    <border>
      <left style="hair">
        <color rgb="FF000000"/>
      </left>
      <right style="hair">
        <color rgb="FF000000"/>
      </right>
      <top style="medium">
        <color indexed="64"/>
      </top>
      <bottom style="medium">
        <color indexed="64"/>
      </bottom>
      <diagonal/>
    </border>
    <border>
      <left style="hair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3" fillId="0" borderId="0"/>
    <xf numFmtId="0" fontId="14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1" applyFont="1"/>
    <xf numFmtId="0" fontId="1" fillId="0" borderId="0" xfId="1"/>
    <xf numFmtId="0" fontId="2" fillId="0" borderId="0" xfId="1" applyFont="1" applyAlignment="1">
      <alignment vertical="center"/>
    </xf>
    <xf numFmtId="0" fontId="2" fillId="0" borderId="11" xfId="1" applyFont="1" applyBorder="1" applyAlignment="1">
      <alignment vertical="center"/>
    </xf>
    <xf numFmtId="0" fontId="2" fillId="0" borderId="9" xfId="1" applyFont="1" applyBorder="1" applyAlignment="1">
      <alignment vertical="center"/>
    </xf>
    <xf numFmtId="0" fontId="2" fillId="0" borderId="16" xfId="1" applyFont="1" applyBorder="1" applyAlignment="1">
      <alignment horizontal="left" vertical="center" wrapText="1"/>
    </xf>
    <xf numFmtId="0" fontId="6" fillId="0" borderId="20" xfId="1" applyFont="1" applyBorder="1" applyAlignment="1">
      <alignment horizontal="center" vertical="center" wrapText="1"/>
    </xf>
    <xf numFmtId="0" fontId="6" fillId="0" borderId="21" xfId="1" applyFont="1" applyBorder="1" applyAlignment="1">
      <alignment horizontal="center" vertical="center" wrapText="1"/>
    </xf>
    <xf numFmtId="0" fontId="6" fillId="0" borderId="22" xfId="1" applyFont="1" applyBorder="1" applyAlignment="1">
      <alignment horizontal="center" vertical="center" wrapText="1"/>
    </xf>
    <xf numFmtId="0" fontId="7" fillId="0" borderId="0" xfId="1" applyFont="1"/>
    <xf numFmtId="0" fontId="8" fillId="0" borderId="23" xfId="1" applyFont="1" applyBorder="1" applyAlignment="1">
      <alignment horizontal="center" vertical="center"/>
    </xf>
    <xf numFmtId="0" fontId="1" fillId="0" borderId="4" xfId="1" applyBorder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1" fillId="0" borderId="24" xfId="1" applyFont="1" applyBorder="1" applyAlignment="1">
      <alignment horizontal="center" vertical="center"/>
    </xf>
    <xf numFmtId="0" fontId="2" fillId="0" borderId="0" xfId="1" applyFont="1" applyAlignment="1">
      <alignment horizontal="right" vertical="center"/>
    </xf>
    <xf numFmtId="0" fontId="7" fillId="0" borderId="0" xfId="1" applyFont="1" applyAlignment="1">
      <alignment horizontal="right" vertical="center"/>
    </xf>
    <xf numFmtId="0" fontId="1" fillId="0" borderId="0" xfId="1" applyAlignment="1">
      <alignment horizontal="right" vertical="center"/>
    </xf>
    <xf numFmtId="0" fontId="1" fillId="0" borderId="7" xfId="1" applyBorder="1" applyAlignment="1">
      <alignment horizontal="right" vertical="center"/>
    </xf>
    <xf numFmtId="49" fontId="15" fillId="0" borderId="26" xfId="1" applyNumberFormat="1" applyFont="1" applyBorder="1" applyAlignment="1">
      <alignment vertical="center" wrapText="1"/>
    </xf>
    <xf numFmtId="49" fontId="15" fillId="0" borderId="27" xfId="1" applyNumberFormat="1" applyFont="1" applyBorder="1" applyAlignment="1">
      <alignment vertical="center" wrapText="1"/>
    </xf>
    <xf numFmtId="49" fontId="15" fillId="0" borderId="28" xfId="1" applyNumberFormat="1" applyFont="1" applyBorder="1" applyAlignment="1">
      <alignment vertical="center" wrapText="1"/>
    </xf>
    <xf numFmtId="0" fontId="7" fillId="0" borderId="5" xfId="1" applyFont="1" applyBorder="1"/>
    <xf numFmtId="4" fontId="10" fillId="0" borderId="23" xfId="1" applyNumberFormat="1" applyFont="1" applyBorder="1" applyAlignment="1">
      <alignment horizontal="center" vertical="center" wrapText="1"/>
    </xf>
    <xf numFmtId="0" fontId="9" fillId="0" borderId="23" xfId="1" applyFont="1" applyBorder="1" applyAlignment="1">
      <alignment horizontal="center" vertical="center" wrapText="1"/>
    </xf>
    <xf numFmtId="0" fontId="10" fillId="0" borderId="23" xfId="1" applyFont="1" applyBorder="1" applyAlignment="1">
      <alignment horizontal="left" vertical="center" wrapText="1"/>
    </xf>
    <xf numFmtId="0" fontId="10" fillId="0" borderId="23" xfId="1" applyFont="1" applyBorder="1" applyAlignment="1">
      <alignment horizontal="center" vertical="center" wrapText="1"/>
    </xf>
    <xf numFmtId="4" fontId="10" fillId="0" borderId="23" xfId="1" applyNumberFormat="1" applyFont="1" applyBorder="1" applyAlignment="1">
      <alignment horizontal="right" vertical="center" wrapText="1"/>
    </xf>
    <xf numFmtId="0" fontId="2" fillId="0" borderId="14" xfId="1" applyFont="1" applyBorder="1" applyAlignment="1">
      <alignment vertical="center"/>
    </xf>
    <xf numFmtId="0" fontId="2" fillId="0" borderId="17" xfId="1" applyFont="1" applyBorder="1" applyAlignment="1">
      <alignment vertical="center"/>
    </xf>
    <xf numFmtId="2" fontId="1" fillId="0" borderId="0" xfId="1" applyNumberFormat="1"/>
    <xf numFmtId="165" fontId="11" fillId="0" borderId="25" xfId="1" applyNumberFormat="1" applyFont="1" applyBorder="1" applyAlignment="1">
      <alignment horizontal="center"/>
    </xf>
    <xf numFmtId="0" fontId="15" fillId="0" borderId="23" xfId="1" applyFont="1" applyBorder="1" applyAlignment="1">
      <alignment horizontal="left" vertical="center" wrapText="1"/>
    </xf>
    <xf numFmtId="0" fontId="7" fillId="0" borderId="4" xfId="1" applyFont="1" applyBorder="1" applyAlignment="1">
      <alignment vertical="top" wrapText="1"/>
    </xf>
    <xf numFmtId="0" fontId="7" fillId="0" borderId="0" xfId="1" applyFont="1"/>
    <xf numFmtId="0" fontId="7" fillId="0" borderId="5" xfId="1" applyFont="1" applyBorder="1"/>
    <xf numFmtId="0" fontId="12" fillId="0" borderId="4" xfId="1" applyFont="1" applyBorder="1" applyAlignment="1">
      <alignment vertical="top" wrapText="1"/>
    </xf>
    <xf numFmtId="0" fontId="4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7" fillId="0" borderId="0" xfId="1" applyFont="1" applyAlignment="1">
      <alignment horizontal="center"/>
    </xf>
    <xf numFmtId="0" fontId="7" fillId="0" borderId="0" xfId="1" applyFont="1" applyAlignment="1">
      <alignment horizontal="left"/>
    </xf>
    <xf numFmtId="0" fontId="7" fillId="0" borderId="1" xfId="1" applyFont="1" applyBorder="1"/>
    <xf numFmtId="0" fontId="7" fillId="0" borderId="2" xfId="1" applyFont="1" applyBorder="1"/>
    <xf numFmtId="0" fontId="7" fillId="0" borderId="3" xfId="1" applyFont="1" applyBorder="1"/>
    <xf numFmtId="0" fontId="11" fillId="0" borderId="4" xfId="1" applyFont="1" applyBorder="1"/>
    <xf numFmtId="0" fontId="2" fillId="0" borderId="14" xfId="1" applyFont="1" applyBorder="1" applyAlignment="1">
      <alignment vertical="center"/>
    </xf>
    <xf numFmtId="0" fontId="2" fillId="0" borderId="15" xfId="1" applyFont="1" applyBorder="1" applyAlignment="1">
      <alignment vertical="center"/>
    </xf>
    <xf numFmtId="0" fontId="2" fillId="0" borderId="15" xfId="1" applyFont="1" applyBorder="1" applyAlignment="1">
      <alignment horizontal="left" vertical="center"/>
    </xf>
    <xf numFmtId="0" fontId="2" fillId="0" borderId="16" xfId="1" applyFont="1" applyBorder="1" applyAlignment="1">
      <alignment horizontal="left" vertical="center"/>
    </xf>
    <xf numFmtId="0" fontId="2" fillId="0" borderId="17" xfId="1" applyFont="1" applyBorder="1" applyAlignment="1">
      <alignment vertical="center"/>
    </xf>
    <xf numFmtId="0" fontId="2" fillId="0" borderId="18" xfId="1" applyFont="1" applyBorder="1" applyAlignment="1">
      <alignment vertical="center"/>
    </xf>
    <xf numFmtId="0" fontId="2" fillId="0" borderId="16" xfId="1" applyFont="1" applyBorder="1" applyAlignment="1">
      <alignment vertical="center" wrapText="1"/>
    </xf>
    <xf numFmtId="0" fontId="2" fillId="0" borderId="19" xfId="1" applyFont="1" applyBorder="1" applyAlignment="1">
      <alignment vertical="center"/>
    </xf>
    <xf numFmtId="0" fontId="2" fillId="0" borderId="16" xfId="1" applyFont="1" applyBorder="1" applyAlignment="1">
      <alignment vertical="center"/>
    </xf>
    <xf numFmtId="0" fontId="3" fillId="0" borderId="1" xfId="1" applyFont="1" applyBorder="1" applyAlignment="1">
      <alignment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vertical="center"/>
    </xf>
    <xf numFmtId="0" fontId="2" fillId="0" borderId="1" xfId="1" applyFont="1" applyBorder="1" applyAlignment="1">
      <alignment vertical="center"/>
    </xf>
    <xf numFmtId="0" fontId="2" fillId="0" borderId="4" xfId="1" applyFont="1" applyBorder="1" applyAlignment="1">
      <alignment vertical="center"/>
    </xf>
    <xf numFmtId="0" fontId="2" fillId="0" borderId="5" xfId="1" applyFont="1" applyBorder="1" applyAlignment="1">
      <alignment vertical="center"/>
    </xf>
    <xf numFmtId="0" fontId="2" fillId="0" borderId="6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2" fillId="0" borderId="8" xfId="1" applyFont="1" applyBorder="1" applyAlignment="1">
      <alignment vertical="center"/>
    </xf>
    <xf numFmtId="0" fontId="2" fillId="0" borderId="9" xfId="1" applyFont="1" applyBorder="1" applyAlignment="1">
      <alignment vertical="center"/>
    </xf>
    <xf numFmtId="0" fontId="2" fillId="0" borderId="10" xfId="1" applyFont="1" applyBorder="1" applyAlignment="1">
      <alignment vertical="center"/>
    </xf>
    <xf numFmtId="14" fontId="2" fillId="0" borderId="12" xfId="1" applyNumberFormat="1" applyFont="1" applyBorder="1" applyAlignment="1">
      <alignment horizontal="left" vertical="top"/>
    </xf>
    <xf numFmtId="0" fontId="2" fillId="0" borderId="13" xfId="1" applyFont="1" applyBorder="1" applyAlignment="1">
      <alignment horizontal="left" vertical="top"/>
    </xf>
  </cellXfs>
  <cellStyles count="6">
    <cellStyle name="_x0004_" xfId="2" xr:uid="{00000000-0005-0000-0000-000000000000}"/>
    <cellStyle name="Normal_Ageing Analysis for AHI (COMPLETE) - as of 03-31-09" xfId="3" xr:uid="{00000000-0005-0000-0000-000001000000}"/>
    <cellStyle name="Обычный" xfId="0" builtinId="0"/>
    <cellStyle name="Обычный 2" xfId="1" xr:uid="{00000000-0005-0000-0000-000003000000}"/>
    <cellStyle name="Процентный 2" xfId="4" xr:uid="{00000000-0005-0000-0000-000004000000}"/>
    <cellStyle name="Финансовый 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276225</xdr:colOff>
      <xdr:row>1</xdr:row>
      <xdr:rowOff>133350</xdr:rowOff>
    </xdr:from>
    <xdr:ext cx="2790825" cy="361950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13637" y="335056"/>
          <a:ext cx="2790825" cy="3619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3"/>
  <sheetViews>
    <sheetView tabSelected="1" view="pageBreakPreview" zoomScale="85" zoomScaleSheetLayoutView="85" workbookViewId="0">
      <selection activeCell="H21" sqref="H21"/>
    </sheetView>
  </sheetViews>
  <sheetFormatPr defaultColWidth="8.88671875" defaultRowHeight="14.4" x14ac:dyDescent="0.3"/>
  <cols>
    <col min="1" max="1" width="0.88671875" style="2" customWidth="1"/>
    <col min="2" max="2" width="4.88671875" style="2" customWidth="1"/>
    <col min="3" max="3" width="21.6640625" style="2" customWidth="1"/>
    <col min="4" max="4" width="53.88671875" style="2" customWidth="1"/>
    <col min="5" max="5" width="4.88671875" style="2" customWidth="1"/>
    <col min="6" max="6" width="18.6640625" style="2" customWidth="1"/>
    <col min="7" max="7" width="18" style="19" customWidth="1"/>
    <col min="8" max="8" width="19" style="2" customWidth="1"/>
    <col min="9" max="9" width="0.88671875" style="2" customWidth="1"/>
    <col min="10" max="10" width="18.109375" style="2" customWidth="1"/>
    <col min="11" max="11" width="19.33203125" style="2" customWidth="1"/>
    <col min="12" max="16384" width="8.88671875" style="2"/>
  </cols>
  <sheetData>
    <row r="1" spans="1:11" ht="15" thickBot="1" x14ac:dyDescent="0.35">
      <c r="A1" s="1"/>
      <c r="B1" s="1"/>
      <c r="C1" s="1"/>
      <c r="D1" s="1"/>
      <c r="E1" s="1"/>
      <c r="F1" s="1"/>
      <c r="G1" s="17"/>
      <c r="H1" s="1"/>
    </row>
    <row r="2" spans="1:11" x14ac:dyDescent="0.3">
      <c r="A2" s="1"/>
      <c r="B2" s="57" t="s">
        <v>0</v>
      </c>
      <c r="C2" s="58"/>
      <c r="D2" s="59"/>
      <c r="E2" s="3"/>
      <c r="F2" s="60"/>
      <c r="G2" s="58"/>
      <c r="H2" s="59"/>
    </row>
    <row r="3" spans="1:11" x14ac:dyDescent="0.3">
      <c r="A3" s="1"/>
      <c r="B3" s="61" t="s">
        <v>1</v>
      </c>
      <c r="C3" s="40"/>
      <c r="D3" s="62"/>
      <c r="E3" s="3"/>
      <c r="F3" s="61"/>
      <c r="G3" s="40"/>
      <c r="H3" s="62"/>
    </row>
    <row r="4" spans="1:11" ht="15" thickBot="1" x14ac:dyDescent="0.35">
      <c r="A4" s="1"/>
      <c r="B4" s="63" t="s">
        <v>2</v>
      </c>
      <c r="C4" s="64"/>
      <c r="D4" s="65"/>
      <c r="E4" s="3"/>
      <c r="F4" s="63"/>
      <c r="G4" s="64"/>
      <c r="H4" s="65"/>
    </row>
    <row r="5" spans="1:11" ht="15" thickBot="1" x14ac:dyDescent="0.35">
      <c r="A5" s="1"/>
      <c r="B5" s="3"/>
      <c r="C5" s="3"/>
      <c r="D5" s="3"/>
      <c r="E5" s="3"/>
      <c r="F5" s="3"/>
      <c r="G5" s="17"/>
      <c r="H5" s="3"/>
    </row>
    <row r="6" spans="1:11" x14ac:dyDescent="0.3">
      <c r="A6" s="1"/>
      <c r="B6" s="66" t="s">
        <v>3</v>
      </c>
      <c r="C6" s="67"/>
      <c r="D6" s="4"/>
      <c r="E6" s="3"/>
      <c r="F6" s="5" t="s">
        <v>4</v>
      </c>
      <c r="G6" s="68">
        <f ca="1">TODAY()</f>
        <v>45996</v>
      </c>
      <c r="H6" s="69"/>
    </row>
    <row r="7" spans="1:11" x14ac:dyDescent="0.3">
      <c r="A7" s="1"/>
      <c r="B7" s="48" t="s">
        <v>5</v>
      </c>
      <c r="C7" s="49"/>
      <c r="D7" s="6" t="s">
        <v>36</v>
      </c>
      <c r="E7" s="3"/>
      <c r="F7" s="30" t="s">
        <v>6</v>
      </c>
      <c r="G7" s="50" t="s">
        <v>38</v>
      </c>
      <c r="H7" s="51"/>
    </row>
    <row r="8" spans="1:11" x14ac:dyDescent="0.3">
      <c r="A8" s="1"/>
      <c r="B8" s="48" t="s">
        <v>7</v>
      </c>
      <c r="C8" s="49"/>
      <c r="D8" s="54" t="s">
        <v>37</v>
      </c>
      <c r="E8" s="3"/>
      <c r="F8" s="30" t="s">
        <v>8</v>
      </c>
      <c r="G8" s="49" t="s">
        <v>39</v>
      </c>
      <c r="H8" s="56"/>
    </row>
    <row r="9" spans="1:11" ht="15" thickBot="1" x14ac:dyDescent="0.35">
      <c r="A9" s="1"/>
      <c r="B9" s="52"/>
      <c r="C9" s="53"/>
      <c r="D9" s="55"/>
      <c r="E9" s="3"/>
      <c r="F9" s="31" t="s">
        <v>9</v>
      </c>
      <c r="G9" s="53" t="s">
        <v>25</v>
      </c>
      <c r="H9" s="55"/>
    </row>
    <row r="10" spans="1:11" x14ac:dyDescent="0.3">
      <c r="A10" s="1"/>
      <c r="B10" s="3"/>
      <c r="C10" s="3"/>
      <c r="D10" s="3"/>
      <c r="E10" s="3"/>
      <c r="F10" s="3"/>
      <c r="G10" s="17"/>
      <c r="H10" s="3"/>
    </row>
    <row r="11" spans="1:11" ht="18" x14ac:dyDescent="0.3">
      <c r="A11" s="1"/>
      <c r="B11" s="39" t="s">
        <v>10</v>
      </c>
      <c r="C11" s="40"/>
      <c r="D11" s="40"/>
      <c r="E11" s="40"/>
      <c r="F11" s="40"/>
      <c r="G11" s="40"/>
      <c r="H11" s="40"/>
    </row>
    <row r="12" spans="1:11" x14ac:dyDescent="0.3">
      <c r="A12" s="1"/>
      <c r="B12" s="41" t="s">
        <v>11</v>
      </c>
      <c r="C12" s="40"/>
      <c r="D12" s="40"/>
      <c r="E12" s="40"/>
      <c r="F12" s="40"/>
      <c r="G12" s="40"/>
      <c r="H12" s="40"/>
    </row>
    <row r="13" spans="1:11" ht="15" thickBot="1" x14ac:dyDescent="0.35">
      <c r="A13" s="1"/>
      <c r="B13" s="1"/>
      <c r="C13" s="1"/>
      <c r="D13" s="1"/>
      <c r="E13" s="1"/>
      <c r="F13" s="1"/>
      <c r="G13" s="17"/>
      <c r="H13" s="1"/>
    </row>
    <row r="14" spans="1:11" ht="36" customHeight="1" thickBot="1" x14ac:dyDescent="0.35">
      <c r="A14" s="1"/>
      <c r="B14" s="7" t="s">
        <v>12</v>
      </c>
      <c r="C14" s="8" t="s">
        <v>13</v>
      </c>
      <c r="D14" s="8" t="s">
        <v>14</v>
      </c>
      <c r="E14" s="8" t="s">
        <v>15</v>
      </c>
      <c r="F14" s="8" t="s">
        <v>16</v>
      </c>
      <c r="G14" s="8" t="s">
        <v>27</v>
      </c>
      <c r="H14" s="9" t="s">
        <v>28</v>
      </c>
      <c r="I14" s="2" t="s">
        <v>17</v>
      </c>
    </row>
    <row r="15" spans="1:11" ht="15.75" customHeight="1" x14ac:dyDescent="0.3">
      <c r="A15" s="10"/>
      <c r="B15" s="11"/>
      <c r="C15" s="21" t="s">
        <v>31</v>
      </c>
      <c r="D15" s="22"/>
      <c r="E15" s="22"/>
      <c r="F15" s="22"/>
      <c r="G15" s="22"/>
      <c r="H15" s="23"/>
    </row>
    <row r="16" spans="1:11" ht="15.6" x14ac:dyDescent="0.3">
      <c r="A16" s="10"/>
      <c r="B16" s="11">
        <v>1</v>
      </c>
      <c r="C16" s="26"/>
      <c r="D16" s="27" t="s">
        <v>29</v>
      </c>
      <c r="E16" s="28" t="s">
        <v>26</v>
      </c>
      <c r="F16" s="28">
        <v>2</v>
      </c>
      <c r="G16" s="29">
        <v>15400</v>
      </c>
      <c r="H16" s="25">
        <v>30800</v>
      </c>
      <c r="K16" s="32"/>
    </row>
    <row r="17" spans="1:11" ht="15.6" x14ac:dyDescent="0.3">
      <c r="A17" s="10"/>
      <c r="B17" s="11">
        <f>B16+1</f>
        <v>2</v>
      </c>
      <c r="C17" s="26"/>
      <c r="D17" s="27" t="s">
        <v>30</v>
      </c>
      <c r="E17" s="28" t="s">
        <v>26</v>
      </c>
      <c r="F17" s="28">
        <v>2</v>
      </c>
      <c r="G17" s="29">
        <v>36000</v>
      </c>
      <c r="H17" s="25">
        <v>72000</v>
      </c>
      <c r="K17" s="32"/>
    </row>
    <row r="18" spans="1:11" ht="15.6" x14ac:dyDescent="0.3">
      <c r="A18" s="10"/>
      <c r="B18" s="11"/>
      <c r="C18" s="34" t="s">
        <v>35</v>
      </c>
      <c r="D18" s="27"/>
      <c r="E18" s="28"/>
      <c r="F18" s="28"/>
      <c r="G18" s="29"/>
      <c r="H18" s="25"/>
    </row>
    <row r="19" spans="1:11" ht="15.6" x14ac:dyDescent="0.3">
      <c r="A19" s="10"/>
      <c r="B19" s="11">
        <f>B17+1</f>
        <v>3</v>
      </c>
      <c r="C19" s="26"/>
      <c r="D19" s="27" t="s">
        <v>32</v>
      </c>
      <c r="E19" s="28" t="s">
        <v>26</v>
      </c>
      <c r="F19" s="28">
        <v>4</v>
      </c>
      <c r="G19" s="29">
        <v>5100</v>
      </c>
      <c r="H19" s="25">
        <v>20400</v>
      </c>
    </row>
    <row r="20" spans="1:11" ht="15.6" x14ac:dyDescent="0.3">
      <c r="A20" s="10"/>
      <c r="B20" s="11">
        <f t="shared" ref="B20:B22" si="0">B19+1</f>
        <v>4</v>
      </c>
      <c r="C20" s="26"/>
      <c r="D20" s="27" t="s">
        <v>33</v>
      </c>
      <c r="E20" s="28" t="s">
        <v>26</v>
      </c>
      <c r="F20" s="28">
        <v>4</v>
      </c>
      <c r="G20" s="29">
        <v>18000</v>
      </c>
      <c r="H20" s="25">
        <v>72000</v>
      </c>
      <c r="K20" s="32"/>
    </row>
    <row r="21" spans="1:11" ht="15.6" x14ac:dyDescent="0.3">
      <c r="A21" s="10"/>
      <c r="B21" s="11">
        <f t="shared" si="0"/>
        <v>5</v>
      </c>
      <c r="C21" s="26"/>
      <c r="D21" s="27" t="s">
        <v>34</v>
      </c>
      <c r="E21" s="28" t="s">
        <v>26</v>
      </c>
      <c r="F21" s="28">
        <v>2</v>
      </c>
      <c r="G21" s="29">
        <v>19668.75</v>
      </c>
      <c r="H21" s="25">
        <v>39337.5</v>
      </c>
      <c r="K21" s="32"/>
    </row>
    <row r="22" spans="1:11" ht="15.75" customHeight="1" x14ac:dyDescent="0.3">
      <c r="A22" s="10"/>
      <c r="B22" s="11">
        <f t="shared" si="0"/>
        <v>6</v>
      </c>
      <c r="C22" s="26"/>
      <c r="D22" s="27"/>
      <c r="E22" s="28" t="s">
        <v>26</v>
      </c>
      <c r="F22" s="28"/>
      <c r="G22" s="29"/>
      <c r="H22" s="25"/>
    </row>
    <row r="23" spans="1:11" x14ac:dyDescent="0.3">
      <c r="A23" s="10"/>
      <c r="B23" s="42"/>
      <c r="C23" s="42"/>
      <c r="D23" s="43"/>
      <c r="E23" s="42"/>
      <c r="F23" s="42"/>
      <c r="G23" s="16" t="s">
        <v>18</v>
      </c>
      <c r="H23" s="33">
        <f>SUM(H16:H22)</f>
        <v>234537.5</v>
      </c>
    </row>
    <row r="24" spans="1:11" ht="15" thickBot="1" x14ac:dyDescent="0.35">
      <c r="A24" s="10"/>
      <c r="B24" s="10"/>
      <c r="C24" s="10"/>
      <c r="D24" s="10"/>
      <c r="E24" s="10"/>
      <c r="F24" s="10"/>
      <c r="G24" s="18"/>
      <c r="H24" s="10"/>
    </row>
    <row r="25" spans="1:11" x14ac:dyDescent="0.3">
      <c r="A25" s="10"/>
      <c r="B25" s="44"/>
      <c r="C25" s="45"/>
      <c r="D25" s="45"/>
      <c r="E25" s="45"/>
      <c r="F25" s="45"/>
      <c r="G25" s="45"/>
      <c r="H25" s="46"/>
    </row>
    <row r="26" spans="1:11" x14ac:dyDescent="0.3">
      <c r="A26" s="10"/>
      <c r="B26" s="47" t="s">
        <v>19</v>
      </c>
      <c r="C26" s="36"/>
      <c r="D26" s="36"/>
      <c r="E26" s="36"/>
      <c r="F26" s="36"/>
      <c r="G26" s="36"/>
      <c r="H26" s="37"/>
      <c r="K26" s="32"/>
    </row>
    <row r="27" spans="1:11" x14ac:dyDescent="0.3">
      <c r="A27" s="10"/>
      <c r="B27" s="38" t="s">
        <v>20</v>
      </c>
      <c r="C27" s="36"/>
      <c r="D27" s="36"/>
      <c r="E27" s="36"/>
      <c r="F27" s="36"/>
      <c r="G27" s="36"/>
      <c r="H27" s="37"/>
      <c r="K27" s="32"/>
    </row>
    <row r="28" spans="1:11" x14ac:dyDescent="0.3">
      <c r="A28" s="10"/>
      <c r="B28" s="35" t="s">
        <v>21</v>
      </c>
      <c r="C28" s="36"/>
      <c r="D28" s="36"/>
      <c r="E28" s="36"/>
      <c r="F28" s="36"/>
      <c r="G28" s="36"/>
      <c r="H28" s="37"/>
    </row>
    <row r="29" spans="1:11" ht="14.25" customHeight="1" x14ac:dyDescent="0.3">
      <c r="A29" s="10"/>
      <c r="B29" s="35" t="s">
        <v>22</v>
      </c>
      <c r="C29" s="36"/>
      <c r="D29" s="36"/>
      <c r="E29" s="36"/>
      <c r="F29" s="36"/>
      <c r="G29" s="36"/>
      <c r="H29" s="37"/>
    </row>
    <row r="30" spans="1:11" x14ac:dyDescent="0.3">
      <c r="A30" s="10"/>
      <c r="B30" s="38" t="s">
        <v>23</v>
      </c>
      <c r="C30" s="36"/>
      <c r="D30" s="36"/>
      <c r="E30" s="36"/>
      <c r="F30" s="36"/>
      <c r="G30" s="36"/>
      <c r="H30" s="37"/>
    </row>
    <row r="31" spans="1:11" x14ac:dyDescent="0.3">
      <c r="A31" s="10"/>
      <c r="B31" s="12" t="s">
        <v>24</v>
      </c>
      <c r="H31" s="24"/>
    </row>
    <row r="32" spans="1:11" ht="15.75" customHeight="1" thickBot="1" x14ac:dyDescent="0.35">
      <c r="A32" s="10"/>
      <c r="B32" s="13"/>
      <c r="C32" s="14"/>
      <c r="D32" s="14"/>
      <c r="E32" s="14"/>
      <c r="F32" s="14"/>
      <c r="G32" s="20"/>
      <c r="H32" s="15"/>
    </row>
    <row r="33" spans="1:11" ht="15" customHeight="1" x14ac:dyDescent="0.3">
      <c r="A33" s="10"/>
      <c r="K33" s="32"/>
    </row>
    <row r="34" spans="1:11" x14ac:dyDescent="0.3">
      <c r="A34" s="10"/>
      <c r="K34" s="32"/>
    </row>
    <row r="35" spans="1:11" x14ac:dyDescent="0.3">
      <c r="A35" s="10"/>
    </row>
    <row r="36" spans="1:11" x14ac:dyDescent="0.3">
      <c r="A36" s="10"/>
    </row>
    <row r="37" spans="1:11" x14ac:dyDescent="0.3">
      <c r="A37" s="10"/>
    </row>
    <row r="38" spans="1:11" x14ac:dyDescent="0.3">
      <c r="A38" s="10"/>
    </row>
    <row r="39" spans="1:11" x14ac:dyDescent="0.3">
      <c r="A39" s="10"/>
    </row>
    <row r="40" spans="1:11" x14ac:dyDescent="0.3">
      <c r="A40" s="10"/>
    </row>
    <row r="41" spans="1:11" x14ac:dyDescent="0.3">
      <c r="A41" s="10"/>
    </row>
    <row r="42" spans="1:11" x14ac:dyDescent="0.3">
      <c r="A42" s="10"/>
    </row>
    <row r="43" spans="1:11" x14ac:dyDescent="0.3">
      <c r="A43" s="10"/>
    </row>
  </sheetData>
  <sheetProtection formatCells="0" formatColumns="0" formatRows="0" insertColumns="0" insertRows="0" insertHyperlinks="0" deleteColumns="0" deleteRows="0" sort="0" autoFilter="0" pivotTables="0"/>
  <mergeCells count="21">
    <mergeCell ref="B2:D2"/>
    <mergeCell ref="F2:H4"/>
    <mergeCell ref="B3:D3"/>
    <mergeCell ref="B4:D4"/>
    <mergeCell ref="B6:C6"/>
    <mergeCell ref="G6:H6"/>
    <mergeCell ref="B7:C7"/>
    <mergeCell ref="G7:H7"/>
    <mergeCell ref="B8:C9"/>
    <mergeCell ref="D8:D9"/>
    <mergeCell ref="G8:H8"/>
    <mergeCell ref="G9:H9"/>
    <mergeCell ref="B28:H28"/>
    <mergeCell ref="B29:H29"/>
    <mergeCell ref="B30:H30"/>
    <mergeCell ref="B11:H11"/>
    <mergeCell ref="B12:H12"/>
    <mergeCell ref="B23:F23"/>
    <mergeCell ref="B25:H25"/>
    <mergeCell ref="B26:H26"/>
    <mergeCell ref="B27:H27"/>
  </mergeCells>
  <pageMargins left="0.7" right="0.7" top="0.75" bottom="0.75" header="0.3" footer="0.3"/>
  <pageSetup paperSize="9" scale="6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Коммерческое предложение</vt:lpstr>
      <vt:lpstr>'Коммерческое предложение'!Print_Area</vt:lpstr>
      <vt:lpstr>'Коммерческое предложение'!Область_печати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Житарь Александр</dc:creator>
  <cp:lastModifiedBy>Тетюшев Илья</cp:lastModifiedBy>
  <dcterms:created xsi:type="dcterms:W3CDTF">2020-11-10T06:48:37Z</dcterms:created>
  <dcterms:modified xsi:type="dcterms:W3CDTF">2025-12-05T09:48:02Z</dcterms:modified>
</cp:coreProperties>
</file>